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salvatorerizzo-bikebrakekit\Design Files\Salvatore Brake Kit 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8" i="1" l="1"/>
  <c r="B17" i="1"/>
  <c r="B16" i="1"/>
  <c r="B15" i="1"/>
  <c r="B14" i="1"/>
  <c r="B13" i="1"/>
  <c r="B12" i="1"/>
  <c r="B11" i="1" l="1"/>
  <c r="B10" i="1"/>
</calcChain>
</file>

<file path=xl/sharedStrings.xml><?xml version="1.0" encoding="utf-8"?>
<sst xmlns="http://schemas.openxmlformats.org/spreadsheetml/2006/main" count="75" uniqueCount="42">
  <si>
    <t>Component list</t>
  </si>
  <si>
    <t>Source Data From:</t>
  </si>
  <si>
    <t>Project:</t>
  </si>
  <si>
    <t>Variant:</t>
  </si>
  <si>
    <t>#</t>
  </si>
  <si>
    <t>None</t>
  </si>
  <si>
    <t>Item Type</t>
  </si>
  <si>
    <t>Diode</t>
  </si>
  <si>
    <t>Resistor</t>
  </si>
  <si>
    <t>Designator</t>
  </si>
  <si>
    <t>D1, D2</t>
  </si>
  <si>
    <t>J1, J4, J7, J10, J15</t>
  </si>
  <si>
    <t>J2</t>
  </si>
  <si>
    <t>J3</t>
  </si>
  <si>
    <t>J5, J6, J13</t>
  </si>
  <si>
    <t>J8, J9, J14</t>
  </si>
  <si>
    <t>J11, J12</t>
  </si>
  <si>
    <t>R1, R2, R3, R4</t>
  </si>
  <si>
    <t>R5</t>
  </si>
  <si>
    <t>Description</t>
  </si>
  <si>
    <t>40V 3A 525mV@3A DO-201AD Schottky Barrier Diodes (SBD) ROHS</t>
  </si>
  <si>
    <t>Wire Connecting Pad</t>
  </si>
  <si>
    <t>RES 30 OHM 5W 5% AXIAL</t>
  </si>
  <si>
    <t>RES 15 OHM 5W 5% AXIAL</t>
  </si>
  <si>
    <t>Footprint</t>
  </si>
  <si>
    <t>DO-201AD</t>
  </si>
  <si>
    <t>Through Hole Pad (High Power)_</t>
  </si>
  <si>
    <t>AC05000003009JAC00</t>
  </si>
  <si>
    <t>AC05000001509JAC00</t>
  </si>
  <si>
    <t>Manufacturer Part Number</t>
  </si>
  <si>
    <t>1N5822</t>
  </si>
  <si>
    <t>Manufacturer</t>
  </si>
  <si>
    <t>FUXINSEMI</t>
  </si>
  <si>
    <t>Vishay</t>
  </si>
  <si>
    <t>30R</t>
  </si>
  <si>
    <t>15R</t>
  </si>
  <si>
    <t>Quantity</t>
  </si>
  <si>
    <t>Bill of Materials for Project [Salvatore Brake Kit v1.0.]</t>
  </si>
  <si>
    <t>Salvatore Brake Kit v1.0.</t>
  </si>
  <si>
    <t>Remarks</t>
  </si>
  <si>
    <t>Value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</si>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</sst>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19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4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11" fillId="3" borderId="17" xfId="0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0" fillId="4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2</xdr:row>
      <xdr:rowOff>19942</xdr:rowOff>
    </xdr:from>
    <xdr:to>
      <xdr:col>10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0"/>
  <sheetViews>
    <sheetView tabSelected="1" workbookViewId="0">
      <selection activeCell="J24" sqref="J24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25.28515625" bestFit="1" customWidth="1"/>
    <col min="8" max="8" width="13.28515625" bestFit="1" customWidth="1"/>
    <col min="9" max="9" width="6.14062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19"/>
      <c r="C1" s="19"/>
      <c r="D1" s="2"/>
      <c r="E1" s="2"/>
      <c r="F1" s="2"/>
      <c r="G1" s="2"/>
      <c r="H1" s="2"/>
      <c r="I1" s="54"/>
      <c r="J1" s="54"/>
      <c r="K1" s="54"/>
    </row>
    <row r="2" spans="1:11" ht="32.25" thickBot="1" x14ac:dyDescent="0.3">
      <c r="A2" s="1"/>
      <c r="B2" s="20"/>
      <c r="C2" s="43"/>
      <c r="D2" s="10" t="s">
        <v>0</v>
      </c>
      <c r="E2" s="10"/>
      <c r="F2" s="51" t="s">
        <v>37</v>
      </c>
      <c r="G2" s="11"/>
      <c r="H2" s="3"/>
      <c r="I2" s="3"/>
      <c r="J2" s="3"/>
      <c r="K2" s="40"/>
    </row>
    <row r="3" spans="1:11" x14ac:dyDescent="0.25">
      <c r="A3" s="1"/>
      <c r="B3" s="21"/>
      <c r="C3" s="44"/>
      <c r="D3" s="12" t="s">
        <v>1</v>
      </c>
      <c r="E3" s="12"/>
      <c r="F3" s="52" t="s">
        <v>38</v>
      </c>
      <c r="G3" s="12"/>
      <c r="H3" s="4"/>
      <c r="I3" s="4"/>
      <c r="J3" s="4"/>
      <c r="K3" s="55"/>
    </row>
    <row r="4" spans="1:11" x14ac:dyDescent="0.25">
      <c r="A4" s="1"/>
      <c r="B4" s="21"/>
      <c r="C4" s="44"/>
      <c r="D4" s="12" t="s">
        <v>2</v>
      </c>
      <c r="E4" s="12"/>
      <c r="F4" s="52" t="s">
        <v>38</v>
      </c>
      <c r="G4" s="13"/>
      <c r="H4" s="6"/>
      <c r="I4" s="6"/>
      <c r="J4" s="6"/>
      <c r="K4" s="56"/>
    </row>
    <row r="5" spans="1:11" x14ac:dyDescent="0.25">
      <c r="A5" s="1"/>
      <c r="B5" s="21"/>
      <c r="C5" s="44"/>
      <c r="D5" s="12" t="s">
        <v>3</v>
      </c>
      <c r="E5" s="12"/>
      <c r="F5" s="53" t="s">
        <v>5</v>
      </c>
      <c r="G5" s="14"/>
      <c r="H5" s="5"/>
      <c r="I5" s="5"/>
      <c r="J5" s="5"/>
      <c r="K5" s="56"/>
    </row>
    <row r="6" spans="1:11" x14ac:dyDescent="0.25">
      <c r="A6" s="1"/>
      <c r="B6" s="22"/>
      <c r="C6" s="45"/>
      <c r="D6" s="15"/>
      <c r="E6" s="15"/>
      <c r="F6" s="16"/>
      <c r="G6" s="14"/>
      <c r="H6" s="5"/>
      <c r="I6" s="5"/>
      <c r="J6" s="5"/>
      <c r="K6" s="56"/>
    </row>
    <row r="7" spans="1:11" x14ac:dyDescent="0.25">
      <c r="A7" s="1"/>
      <c r="B7" s="23"/>
      <c r="C7" s="46"/>
      <c r="D7" s="17"/>
      <c r="E7" s="17"/>
      <c r="F7" s="18"/>
      <c r="G7" s="17"/>
      <c r="H7" s="7"/>
      <c r="I7" s="7"/>
      <c r="J7" s="7"/>
      <c r="K7" s="56"/>
    </row>
    <row r="8" spans="1:11" ht="15.75" thickBot="1" x14ac:dyDescent="0.3">
      <c r="A8" s="1"/>
      <c r="B8" s="26"/>
      <c r="C8" s="47"/>
      <c r="D8" s="27"/>
      <c r="E8" s="27"/>
      <c r="F8" s="28"/>
      <c r="G8" s="17"/>
      <c r="H8" s="7"/>
      <c r="I8" s="7"/>
      <c r="J8" s="7"/>
      <c r="K8" s="56"/>
    </row>
    <row r="9" spans="1:11" ht="15.75" thickBot="1" x14ac:dyDescent="0.3">
      <c r="A9" s="1"/>
      <c r="B9" s="29" t="s">
        <v>4</v>
      </c>
      <c r="C9" s="29" t="s">
        <v>6</v>
      </c>
      <c r="D9" s="29" t="s">
        <v>9</v>
      </c>
      <c r="E9" s="30" t="s">
        <v>19</v>
      </c>
      <c r="F9" s="29" t="s">
        <v>24</v>
      </c>
      <c r="G9" s="30" t="s">
        <v>29</v>
      </c>
      <c r="H9" s="29" t="s">
        <v>31</v>
      </c>
      <c r="I9" s="30" t="s">
        <v>40</v>
      </c>
      <c r="J9" s="29" t="s">
        <v>36</v>
      </c>
      <c r="K9" s="29" t="s">
        <v>39</v>
      </c>
    </row>
    <row r="10" spans="1:11" ht="24.75" thickBot="1" x14ac:dyDescent="0.3">
      <c r="A10" s="1"/>
      <c r="B10" s="50">
        <f>ROW(B10) - ROW($B$9)</f>
        <v>1</v>
      </c>
      <c r="C10" s="57" t="s">
        <v>7</v>
      </c>
      <c r="D10" s="36" t="s">
        <v>10</v>
      </c>
      <c r="E10" s="37" t="s">
        <v>20</v>
      </c>
      <c r="F10" s="36" t="s">
        <v>25</v>
      </c>
      <c r="G10" s="37" t="s">
        <v>30</v>
      </c>
      <c r="H10" s="36" t="s">
        <v>32</v>
      </c>
      <c r="I10" s="37" t="s">
        <v>41</v>
      </c>
      <c r="J10" s="36">
        <v>2</v>
      </c>
      <c r="K10" s="36"/>
    </row>
    <row r="11" spans="1:11" ht="15.75" thickBot="1" x14ac:dyDescent="0.3">
      <c r="A11" s="1"/>
      <c r="B11" s="50">
        <f t="shared" ref="B11:B17" si="0">ROW(B11) - ROW($B$9)</f>
        <v>2</v>
      </c>
      <c r="C11" s="58" t="s">
        <v>21</v>
      </c>
      <c r="D11" s="38" t="s">
        <v>11</v>
      </c>
      <c r="E11" s="39" t="s">
        <v>21</v>
      </c>
      <c r="F11" s="38" t="s">
        <v>26</v>
      </c>
      <c r="G11" s="39" t="s">
        <v>41</v>
      </c>
      <c r="H11" s="38"/>
      <c r="I11" s="39" t="s">
        <v>41</v>
      </c>
      <c r="J11" s="38">
        <v>5</v>
      </c>
      <c r="K11" s="38"/>
    </row>
    <row r="12" spans="1:11" ht="15.75" thickBot="1" x14ac:dyDescent="0.3">
      <c r="A12" s="1"/>
      <c r="B12" s="50">
        <f>ROW(B12) - ROW($B$9)</f>
        <v>3</v>
      </c>
      <c r="C12" s="58" t="s">
        <v>21</v>
      </c>
      <c r="D12" s="36" t="s">
        <v>12</v>
      </c>
      <c r="E12" s="37" t="s">
        <v>21</v>
      </c>
      <c r="F12" s="36" t="s">
        <v>26</v>
      </c>
      <c r="G12" s="37" t="s">
        <v>41</v>
      </c>
      <c r="H12" s="36"/>
      <c r="I12" s="37" t="s">
        <v>41</v>
      </c>
      <c r="J12" s="36">
        <v>1</v>
      </c>
      <c r="K12" s="36"/>
    </row>
    <row r="13" spans="1:11" ht="15.75" thickBot="1" x14ac:dyDescent="0.3">
      <c r="A13" s="1"/>
      <c r="B13" s="50">
        <f t="shared" si="0"/>
        <v>4</v>
      </c>
      <c r="C13" s="58" t="s">
        <v>21</v>
      </c>
      <c r="D13" s="38" t="s">
        <v>13</v>
      </c>
      <c r="E13" s="39" t="s">
        <v>21</v>
      </c>
      <c r="F13" s="38" t="s">
        <v>26</v>
      </c>
      <c r="G13" s="39" t="s">
        <v>41</v>
      </c>
      <c r="H13" s="38"/>
      <c r="I13" s="39" t="s">
        <v>41</v>
      </c>
      <c r="J13" s="38">
        <v>1</v>
      </c>
      <c r="K13" s="38"/>
    </row>
    <row r="14" spans="1:11" ht="15.75" thickBot="1" x14ac:dyDescent="0.3">
      <c r="A14" s="1"/>
      <c r="B14" s="50">
        <f>ROW(B14) - ROW($B$9)</f>
        <v>5</v>
      </c>
      <c r="C14" s="58" t="s">
        <v>21</v>
      </c>
      <c r="D14" s="36" t="s">
        <v>14</v>
      </c>
      <c r="E14" s="37" t="s">
        <v>21</v>
      </c>
      <c r="F14" s="36" t="s">
        <v>26</v>
      </c>
      <c r="G14" s="37" t="s">
        <v>41</v>
      </c>
      <c r="H14" s="36"/>
      <c r="I14" s="37" t="s">
        <v>41</v>
      </c>
      <c r="J14" s="36">
        <v>3</v>
      </c>
      <c r="K14" s="36"/>
    </row>
    <row r="15" spans="1:11" ht="15.75" thickBot="1" x14ac:dyDescent="0.3">
      <c r="A15" s="1"/>
      <c r="B15" s="50">
        <f t="shared" si="0"/>
        <v>6</v>
      </c>
      <c r="C15" s="58" t="s">
        <v>21</v>
      </c>
      <c r="D15" s="38" t="s">
        <v>15</v>
      </c>
      <c r="E15" s="39" t="s">
        <v>21</v>
      </c>
      <c r="F15" s="38" t="s">
        <v>26</v>
      </c>
      <c r="G15" s="39" t="s">
        <v>41</v>
      </c>
      <c r="H15" s="38"/>
      <c r="I15" s="39" t="s">
        <v>41</v>
      </c>
      <c r="J15" s="38">
        <v>3</v>
      </c>
      <c r="K15" s="38"/>
    </row>
    <row r="16" spans="1:11" ht="15.75" thickBot="1" x14ac:dyDescent="0.3">
      <c r="A16" s="1"/>
      <c r="B16" s="50">
        <f>ROW(B16) - ROW($B$9)</f>
        <v>7</v>
      </c>
      <c r="C16" s="58" t="s">
        <v>21</v>
      </c>
      <c r="D16" s="36" t="s">
        <v>16</v>
      </c>
      <c r="E16" s="37" t="s">
        <v>21</v>
      </c>
      <c r="F16" s="36" t="s">
        <v>26</v>
      </c>
      <c r="G16" s="37" t="s">
        <v>41</v>
      </c>
      <c r="H16" s="36"/>
      <c r="I16" s="37" t="s">
        <v>41</v>
      </c>
      <c r="J16" s="36">
        <v>2</v>
      </c>
      <c r="K16" s="36"/>
    </row>
    <row r="17" spans="1:11" ht="15.75" thickBot="1" x14ac:dyDescent="0.3">
      <c r="A17" s="1"/>
      <c r="B17" s="50">
        <f t="shared" si="0"/>
        <v>8</v>
      </c>
      <c r="C17" s="58" t="s">
        <v>8</v>
      </c>
      <c r="D17" s="38" t="s">
        <v>17</v>
      </c>
      <c r="E17" s="39" t="s">
        <v>22</v>
      </c>
      <c r="F17" s="38" t="s">
        <v>27</v>
      </c>
      <c r="G17" s="39" t="s">
        <v>27</v>
      </c>
      <c r="H17" s="38" t="s">
        <v>33</v>
      </c>
      <c r="I17" s="39" t="s">
        <v>34</v>
      </c>
      <c r="J17" s="38">
        <v>4</v>
      </c>
      <c r="K17" s="38"/>
    </row>
    <row r="18" spans="1:11" ht="15.75" thickBot="1" x14ac:dyDescent="0.3">
      <c r="A18" s="1"/>
      <c r="B18" s="50">
        <f>ROW(B18) - ROW($B$9)</f>
        <v>9</v>
      </c>
      <c r="C18" s="57" t="s">
        <v>8</v>
      </c>
      <c r="D18" s="36" t="s">
        <v>18</v>
      </c>
      <c r="E18" s="37" t="s">
        <v>23</v>
      </c>
      <c r="F18" s="36" t="s">
        <v>28</v>
      </c>
      <c r="G18" s="37" t="s">
        <v>28</v>
      </c>
      <c r="H18" s="36" t="s">
        <v>33</v>
      </c>
      <c r="I18" s="37" t="s">
        <v>35</v>
      </c>
      <c r="J18" s="36">
        <v>1</v>
      </c>
      <c r="K18" s="36"/>
    </row>
    <row r="19" spans="1:11" x14ac:dyDescent="0.25">
      <c r="A19" s="1"/>
      <c r="B19" s="31"/>
      <c r="C19" s="48"/>
      <c r="D19" s="32"/>
      <c r="E19" s="33"/>
      <c r="F19" s="34"/>
      <c r="G19" s="35"/>
      <c r="H19" s="34"/>
      <c r="I19" s="35"/>
      <c r="J19" s="35"/>
      <c r="K19" s="41"/>
    </row>
    <row r="20" spans="1:11" ht="15.75" thickBot="1" x14ac:dyDescent="0.3">
      <c r="A20" s="1"/>
      <c r="B20" s="24"/>
      <c r="C20" s="49"/>
      <c r="D20" s="8"/>
      <c r="E20" s="9"/>
      <c r="F20" s="9"/>
      <c r="G20" s="9"/>
      <c r="H20" s="9"/>
      <c r="I20" s="9"/>
      <c r="J20" s="9"/>
      <c r="K20" s="42"/>
    </row>
  </sheetData>
  <mergeCells count="2">
    <mergeCell ref="I1:K1"/>
    <mergeCell ref="K3:K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2023-07-07T12:35:29Z</dcterms:modified>
</cp:coreProperties>
</file>